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penda\Downloads\"/>
    </mc:Choice>
  </mc:AlternateContent>
  <bookViews>
    <workbookView xWindow="0" yWindow="0" windowWidth="28800" windowHeight="12180" activeTab="1"/>
  </bookViews>
  <sheets>
    <sheet name="Fiche Achat Kampala" sheetId="1" r:id="rId1"/>
    <sheet name="Feuil1" sheetId="2" r:id="rId2"/>
  </sheets>
  <calcPr calcId="162913"/>
</workbook>
</file>

<file path=xl/calcChain.xml><?xml version="1.0" encoding="utf-8"?>
<calcChain xmlns="http://schemas.openxmlformats.org/spreadsheetml/2006/main">
  <c r="F15" i="1" l="1"/>
  <c r="F18" i="1"/>
  <c r="F9" i="1"/>
  <c r="F10" i="1"/>
  <c r="F11" i="1"/>
  <c r="F12" i="1"/>
  <c r="F13" i="1"/>
  <c r="F14" i="1"/>
  <c r="F16" i="1"/>
  <c r="F7" i="1" l="1"/>
  <c r="F21" i="1" s="1"/>
  <c r="F19" i="1"/>
  <c r="F17" i="1"/>
  <c r="F8" i="1"/>
</calcChain>
</file>

<file path=xl/sharedStrings.xml><?xml version="1.0" encoding="utf-8"?>
<sst xmlns="http://schemas.openxmlformats.org/spreadsheetml/2006/main" count="56" uniqueCount="46">
  <si>
    <t>Article</t>
  </si>
  <si>
    <t>Description</t>
  </si>
  <si>
    <t>Quantité</t>
  </si>
  <si>
    <t>Prix Unitaire ($)</t>
  </si>
  <si>
    <t>Total ($)</t>
  </si>
  <si>
    <t>Désinfectant</t>
  </si>
  <si>
    <t>500 mL</t>
  </si>
  <si>
    <t>150 mL</t>
  </si>
  <si>
    <t>Lave Carreaux</t>
  </si>
  <si>
    <t>Imulgator (kg)</t>
  </si>
  <si>
    <t>HCL (kg)</t>
  </si>
  <si>
    <t>KDS (kg)</t>
  </si>
  <si>
    <t>Metasilicate (kg)</t>
  </si>
  <si>
    <t>Emballages (pcs)</t>
  </si>
  <si>
    <t>Emballage OMO</t>
  </si>
  <si>
    <t>5 kg</t>
  </si>
  <si>
    <t>Lave Vitres</t>
  </si>
  <si>
    <t>Cartons VIN</t>
  </si>
  <si>
    <t>Cartons</t>
  </si>
  <si>
    <t>Total Général</t>
  </si>
  <si>
    <t>IPA (Litre)</t>
  </si>
  <si>
    <t>Fiche d'achat Liste des Achats et Approvisionnements pour la production à Kampala</t>
  </si>
  <si>
    <t>Ufablend (kg)</t>
  </si>
  <si>
    <t>Sulfonique (kg)</t>
  </si>
  <si>
    <t>Lactic (kg)</t>
  </si>
  <si>
    <t>Ets. OMIDI</t>
  </si>
  <si>
    <t xml:space="preserve"> Siège social Goma</t>
  </si>
  <si>
    <t>N°</t>
  </si>
  <si>
    <t>Prix Unitaire</t>
  </si>
  <si>
    <t>Prix Total</t>
  </si>
  <si>
    <t>DEVIS POUR INSTALLATION, ACHAT D'EQUIPEMENTS INFORMATIQUES, RESEAU ET RACCORDEMENT DE CAMERAS DE SURVEILLANCE</t>
  </si>
  <si>
    <t>NVR</t>
  </si>
  <si>
    <t>Caméra Intérieure HD</t>
  </si>
  <si>
    <t>Caméra Extérieure HD</t>
  </si>
  <si>
    <t>Switch 24 ports</t>
  </si>
  <si>
    <t xml:space="preserve">Disque Dur </t>
  </si>
  <si>
    <t>Cable RJ45</t>
  </si>
  <si>
    <t>Connecteurs RJ45</t>
  </si>
  <si>
    <t>Ondulaires</t>
  </si>
  <si>
    <t>Batterie 200A</t>
  </si>
  <si>
    <t>Panneau Solaire 1000W</t>
  </si>
  <si>
    <t>Ecran plat 32''</t>
  </si>
  <si>
    <t>Convertisseur Hybride</t>
  </si>
  <si>
    <t xml:space="preserve">Pince à certir et Testeur </t>
  </si>
  <si>
    <t>Ordinateurs Portables</t>
  </si>
  <si>
    <t>Connexion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</si>
</sst>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</font>
    <font>
      <sz val="11"/>
      <color theme="1"/>
      <name val="Outfit Black"/>
    </font>
    <font>
      <sz val="10"/>
      <color theme="1"/>
      <name val="Outfit"/>
    </font>
    <font>
      <sz val="12"/>
      <color rgb="FFFFC000"/>
      <name val="Outfit Black"/>
    </font>
    <font>
      <b/>
      <sz val="10"/>
      <color theme="0"/>
      <name val="Outfit"/>
    </font>
    <font>
      <b/>
      <sz val="12"/>
      <color theme="0"/>
      <name val="Outfit"/>
    </font>
    <font>
      <sz val="11"/>
      <color theme="0"/>
      <name val="Outfit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4" borderId="0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10" xfId="1" applyNumberFormat="1" applyFont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164" fontId="3" fillId="0" borderId="12" xfId="1" applyNumberFormat="1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164" fontId="3" fillId="0" borderId="12" xfId="1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164" fontId="3" fillId="3" borderId="12" xfId="1" applyNumberFormat="1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16" xfId="0" applyNumberFormat="1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1" fillId="2" borderId="1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</cellXfs>
  <cellStyles count="2">
    <cellStyle name="Monétaire" xfId="1" builtinId="4"/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name val="Times New Roman"/>
        <scheme val="none"/>
      </font>
      <numFmt numFmtId="164" formatCode="_-[$$-409]* #,##0.00_ ;_-[$$-409]* \-#,##0.00\ ;_-[$$-409]* &quot;-&quot;??_ ;_-@_ "/>
      <alignment vertical="center" textRotation="0" wrapText="0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numFmt numFmtId="164" formatCode="_-[$$-409]* #,##0.00_ ;_-[$$-409]* \-#,##0.00\ ;_-[$$-409]* &quot;-&quot;??_ ;_-@_ 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textRotation="0" wrapText="0" indent="0" justifyLastLine="0" shrinkToFit="0" readingOrder="0"/>
      <border diagonalUp="0" diagonalDown="0">
        <left style="thick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102580</xdr:colOff>
      <xdr:row>0</xdr:row>
      <xdr:rowOff>36634</xdr:rowOff>
    </xdr:from>
    <xdr:to>
      <xdr:col>1</xdr:col>
      <xdr:colOff>1012350</xdr:colOff>
      <xdr:row>3</xdr:row>
      <xdr:rowOff>14652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22" y="36634"/>
          <a:ext cx="909770" cy="827941"/>
        </a:xfrm>
        <a:prstGeom prst="rect">
          <a:avLst/>
        </a:prstGeom>
      </xdr:spPr>
    </xdr:pic>
    <xdr:clientData/>
  </xdr:twoCellAnchor>
  <xdr:twoCellAnchor editAs="oneCell">
    <xdr:from>
      <xdr:col>4</xdr:col>
      <xdr:colOff>981810</xdr:colOff>
      <xdr:row>0</xdr:row>
      <xdr:rowOff>0</xdr:rowOff>
    </xdr:from>
    <xdr:to>
      <xdr:col>5</xdr:col>
      <xdr:colOff>755907</xdr:colOff>
      <xdr:row>2</xdr:row>
      <xdr:rowOff>380999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3791" y="0"/>
          <a:ext cx="909770" cy="827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0</xdr:rowOff>
    </xdr:from>
    <xdr:to>
      <xdr:col>0</xdr:col>
      <xdr:colOff>661458</xdr:colOff>
      <xdr:row>2</xdr:row>
      <xdr:rowOff>188168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3" y="0"/>
          <a:ext cx="555625" cy="569168"/>
        </a:xfrm>
        <a:prstGeom prst="rect">
          <a:avLst/>
        </a:prstGeom>
      </xdr:spPr>
    </xdr:pic>
    <xdr:clientData/>
  </xdr:twoCellAnchor>
  <xdr:twoCellAnchor editAs="oneCell">
    <xdr:from>
      <xdr:col>6</xdr:col>
      <xdr:colOff>110066</xdr:colOff>
      <xdr:row>0</xdr:row>
      <xdr:rowOff>5292</xdr:rowOff>
    </xdr:from>
    <xdr:to>
      <xdr:col>6</xdr:col>
      <xdr:colOff>665691</xdr:colOff>
      <xdr:row>3</xdr:row>
      <xdr:rowOff>2960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2066" y="5292"/>
          <a:ext cx="555625" cy="56916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5292</xdr:rowOff>
    </xdr:from>
    <xdr:to>
      <xdr:col>6</xdr:col>
      <xdr:colOff>10583</xdr:colOff>
      <xdr:row>3</xdr:row>
      <xdr:rowOff>51011</xdr:rowOff>
    </xdr:to>
    <xdr:sp macro="" textlink="">
      <xdr:nvSpPr>
        <xdr:cNvPr id="4" name="Rectangle 3"/>
        <xdr:cNvSpPr/>
      </xdr:nvSpPr>
      <xdr:spPr>
        <a:xfrm>
          <a:off x="762000" y="576792"/>
          <a:ext cx="3820583" cy="45719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FicheAchat" displayName="FicheAchat" ref="B6:F19" headerRowDxfId="7" dataDxfId="6" totalsRowDxfId="5">
  <autoFilter ref="B6:F19"/>
  <tableColumns count="5">
    <tableColumn id="1" name="Article" dataDxfId="4"/>
    <tableColumn id="2" name="Description" dataDxfId="3"/>
    <tableColumn id="3" name="Quantité" dataDxfId="2"/>
    <tableColumn id="4" name="Prix Unitaire ($)" dataDxfId="1"/>
    <tableColumn id="5" name="Total ($)" dataDxfId="0" dataCellStyle="Monétai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zoomScale="130" zoomScaleNormal="130" workbookViewId="0">
      <selection activeCell="J11" sqref="J11"/>
    </sheetView>
  </sheetViews>
  <sheetFormatPr baseColWidth="10" defaultColWidth="9.140625" defaultRowHeight="15" x14ac:dyDescent="0.25"/>
  <cols>
    <col min="1" max="1" width="6.7109375" customWidth="1"/>
    <col min="2" max="2" width="19.7109375" customWidth="1"/>
    <col min="3" max="3" width="18.140625" customWidth="1"/>
    <col min="4" max="4" width="13" customWidth="1"/>
    <col min="5" max="5" width="17" customWidth="1"/>
    <col min="6" max="6" width="12.140625" customWidth="1"/>
  </cols>
  <sheetData>
    <row r="1" spans="2:6" x14ac:dyDescent="0.25">
      <c r="B1" s="18"/>
      <c r="C1" s="18"/>
      <c r="D1" s="18"/>
      <c r="E1" s="18"/>
      <c r="F1" s="18"/>
    </row>
    <row r="2" spans="2:6" ht="20.25" customHeight="1" x14ac:dyDescent="0.25">
      <c r="B2" s="18"/>
      <c r="C2" s="18"/>
      <c r="D2" s="18"/>
      <c r="E2" s="18"/>
      <c r="F2" s="18"/>
    </row>
    <row r="3" spans="2:6" ht="31.5" customHeight="1" thickBot="1" x14ac:dyDescent="0.3">
      <c r="B3" s="19"/>
      <c r="C3" s="19"/>
      <c r="D3" s="19"/>
      <c r="E3" s="19"/>
      <c r="F3" s="19"/>
    </row>
    <row r="4" spans="2:6" ht="16.5" customHeight="1" x14ac:dyDescent="0.25">
      <c r="B4" s="12" t="s">
        <v>21</v>
      </c>
      <c r="C4" s="13"/>
      <c r="D4" s="13"/>
      <c r="E4" s="13"/>
      <c r="F4" s="14"/>
    </row>
    <row r="5" spans="2:6" ht="31.5" customHeight="1" x14ac:dyDescent="0.25">
      <c r="B5" s="15"/>
      <c r="C5" s="16"/>
      <c r="D5" s="16"/>
      <c r="E5" s="16"/>
      <c r="F5" s="17"/>
    </row>
    <row r="6" spans="2:6" ht="16.5" thickBot="1" x14ac:dyDescent="0.3">
      <c r="B6" s="9" t="s">
        <v>0</v>
      </c>
      <c r="C6" s="10" t="s">
        <v>1</v>
      </c>
      <c r="D6" s="10" t="s">
        <v>2</v>
      </c>
      <c r="E6" s="10" t="s">
        <v>3</v>
      </c>
      <c r="F6" s="11" t="s">
        <v>4</v>
      </c>
    </row>
    <row r="7" spans="2:6" ht="19.5" thickTop="1" x14ac:dyDescent="0.25">
      <c r="B7" s="21" t="s">
        <v>5</v>
      </c>
      <c r="C7" s="22" t="s">
        <v>6</v>
      </c>
      <c r="D7" s="22">
        <v>100</v>
      </c>
      <c r="E7" s="23">
        <v>0.7</v>
      </c>
      <c r="F7" s="24">
        <f>D7*E7</f>
        <v>70</v>
      </c>
    </row>
    <row r="8" spans="2:6" ht="18.75" x14ac:dyDescent="0.25">
      <c r="B8" s="25" t="s">
        <v>5</v>
      </c>
      <c r="C8" s="7" t="s">
        <v>7</v>
      </c>
      <c r="D8" s="7">
        <v>200</v>
      </c>
      <c r="E8" s="8">
        <v>0.4</v>
      </c>
      <c r="F8" s="26">
        <f>D8*E8</f>
        <v>80</v>
      </c>
    </row>
    <row r="9" spans="2:6" ht="18.75" x14ac:dyDescent="0.25">
      <c r="B9" s="27" t="s">
        <v>8</v>
      </c>
      <c r="C9" s="1" t="s">
        <v>9</v>
      </c>
      <c r="D9" s="1">
        <v>5</v>
      </c>
      <c r="E9" s="2">
        <v>6</v>
      </c>
      <c r="F9" s="28">
        <f t="shared" ref="F9:F16" si="0">D9*E9</f>
        <v>30</v>
      </c>
    </row>
    <row r="10" spans="2:6" ht="18.75" x14ac:dyDescent="0.25">
      <c r="B10" s="27" t="s">
        <v>8</v>
      </c>
      <c r="C10" s="1" t="s">
        <v>10</v>
      </c>
      <c r="D10" s="1">
        <v>5</v>
      </c>
      <c r="E10" s="2">
        <v>2</v>
      </c>
      <c r="F10" s="28">
        <f t="shared" si="0"/>
        <v>10</v>
      </c>
    </row>
    <row r="11" spans="2:6" ht="18.75" x14ac:dyDescent="0.25">
      <c r="B11" s="27" t="s">
        <v>8</v>
      </c>
      <c r="C11" s="1" t="s">
        <v>11</v>
      </c>
      <c r="D11" s="1">
        <v>2</v>
      </c>
      <c r="E11" s="2">
        <v>5.5</v>
      </c>
      <c r="F11" s="28">
        <f t="shared" si="0"/>
        <v>11</v>
      </c>
    </row>
    <row r="12" spans="2:6" ht="18.75" x14ac:dyDescent="0.25">
      <c r="B12" s="27" t="s">
        <v>8</v>
      </c>
      <c r="C12" s="1" t="s">
        <v>12</v>
      </c>
      <c r="D12" s="1">
        <v>5</v>
      </c>
      <c r="E12" s="2">
        <v>2</v>
      </c>
      <c r="F12" s="28">
        <f t="shared" si="0"/>
        <v>10</v>
      </c>
    </row>
    <row r="13" spans="2:6" ht="18.75" x14ac:dyDescent="0.25">
      <c r="B13" s="27" t="s">
        <v>8</v>
      </c>
      <c r="C13" s="1" t="s">
        <v>23</v>
      </c>
      <c r="D13" s="1">
        <v>10</v>
      </c>
      <c r="E13" s="2">
        <v>3.5</v>
      </c>
      <c r="F13" s="28">
        <f t="shared" si="0"/>
        <v>35</v>
      </c>
    </row>
    <row r="14" spans="2:6" ht="18.75" x14ac:dyDescent="0.25">
      <c r="B14" s="27" t="s">
        <v>8</v>
      </c>
      <c r="C14" s="1" t="s">
        <v>22</v>
      </c>
      <c r="D14" s="1">
        <v>5</v>
      </c>
      <c r="E14" s="2">
        <v>6</v>
      </c>
      <c r="F14" s="28">
        <f t="shared" si="0"/>
        <v>30</v>
      </c>
    </row>
    <row r="15" spans="2:6" ht="18.75" x14ac:dyDescent="0.25">
      <c r="B15" s="29" t="s">
        <v>8</v>
      </c>
      <c r="C15" s="3" t="s">
        <v>24</v>
      </c>
      <c r="D15" s="3">
        <v>1</v>
      </c>
      <c r="E15" s="4">
        <v>7.5</v>
      </c>
      <c r="F15" s="28">
        <f t="shared" si="0"/>
        <v>7.5</v>
      </c>
    </row>
    <row r="16" spans="2:6" ht="18.75" x14ac:dyDescent="0.25">
      <c r="B16" s="30" t="s">
        <v>8</v>
      </c>
      <c r="C16" s="5" t="s">
        <v>13</v>
      </c>
      <c r="D16" s="5">
        <v>200</v>
      </c>
      <c r="E16" s="6"/>
      <c r="F16" s="31">
        <f t="shared" si="0"/>
        <v>0</v>
      </c>
    </row>
    <row r="17" spans="2:6" ht="18.75" x14ac:dyDescent="0.25">
      <c r="B17" s="27" t="s">
        <v>14</v>
      </c>
      <c r="C17" s="1" t="s">
        <v>15</v>
      </c>
      <c r="D17" s="1">
        <v>100</v>
      </c>
      <c r="E17" s="2">
        <v>0.7</v>
      </c>
      <c r="F17" s="28">
        <f>D17*E17</f>
        <v>70</v>
      </c>
    </row>
    <row r="18" spans="2:6" ht="18.75" x14ac:dyDescent="0.25">
      <c r="B18" s="27" t="s">
        <v>16</v>
      </c>
      <c r="C18" s="1" t="s">
        <v>20</v>
      </c>
      <c r="D18" s="1">
        <v>10</v>
      </c>
      <c r="E18" s="2">
        <v>2.5</v>
      </c>
      <c r="F18" s="28">
        <f>D18*E18</f>
        <v>25</v>
      </c>
    </row>
    <row r="19" spans="2:6" ht="19.5" thickBot="1" x14ac:dyDescent="0.3">
      <c r="B19" s="33" t="s">
        <v>17</v>
      </c>
      <c r="C19" s="34" t="s">
        <v>18</v>
      </c>
      <c r="D19" s="34">
        <v>2000</v>
      </c>
      <c r="E19" s="35">
        <v>0.39</v>
      </c>
      <c r="F19" s="36">
        <f>D19*E19</f>
        <v>780</v>
      </c>
    </row>
    <row r="20" spans="2:6" ht="20.25" thickTop="1" thickBot="1" x14ac:dyDescent="0.3">
      <c r="B20" s="22"/>
      <c r="C20" s="22"/>
      <c r="D20" s="37"/>
      <c r="E20" s="38"/>
      <c r="F20" s="38"/>
    </row>
    <row r="21" spans="2:6" ht="20.25" thickTop="1" thickBot="1" x14ac:dyDescent="0.3">
      <c r="B21" s="1"/>
      <c r="C21" s="1"/>
      <c r="D21" s="32"/>
      <c r="E21" s="39" t="s">
        <v>19</v>
      </c>
      <c r="F21" s="40">
        <f>SUM(FicheAchat[Total ($)])</f>
        <v>1158.5</v>
      </c>
    </row>
    <row r="22" spans="2:6" ht="19.5" thickTop="1" x14ac:dyDescent="0.25">
      <c r="B22" s="1"/>
      <c r="C22" s="1"/>
      <c r="D22" s="1"/>
      <c r="E22" s="1"/>
      <c r="F22" s="1"/>
    </row>
  </sheetData>
  <mergeCells count="2">
    <mergeCell ref="B4:F5"/>
    <mergeCell ref="B1:F3"/>
  </mergeCells>
  <pageMargins left="0.75" right="0.75" top="1" bottom="1" header="0.5" footer="0.5"/>
  <pageSetup orientation="portrait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180" zoomScaleNormal="180" workbookViewId="0">
      <selection activeCell="E11" sqref="E11"/>
    </sheetView>
  </sheetViews>
  <sheetFormatPr baseColWidth="10" defaultRowHeight="15" x14ac:dyDescent="0.25"/>
  <cols>
    <col min="1" max="1" width="10.85546875" customWidth="1"/>
    <col min="2" max="2" width="5.28515625" customWidth="1"/>
    <col min="3" max="3" width="21.28515625" customWidth="1"/>
  </cols>
  <sheetData>
    <row r="1" spans="1:7" x14ac:dyDescent="0.25">
      <c r="A1" s="18"/>
      <c r="E1" s="20"/>
      <c r="G1" s="18"/>
    </row>
    <row r="2" spans="1:7" ht="15" customHeight="1" x14ac:dyDescent="0.25">
      <c r="A2" s="18"/>
      <c r="B2" s="43" t="s">
        <v>25</v>
      </c>
      <c r="C2" s="41"/>
      <c r="D2" s="41"/>
      <c r="E2" s="41"/>
      <c r="F2" s="41"/>
      <c r="G2" s="18"/>
    </row>
    <row r="3" spans="1:7" x14ac:dyDescent="0.25">
      <c r="A3" s="18"/>
      <c r="B3" s="42" t="s">
        <v>26</v>
      </c>
      <c r="C3" s="41"/>
      <c r="D3" s="41"/>
      <c r="E3" s="41"/>
      <c r="F3" s="41"/>
      <c r="G3" s="18"/>
    </row>
    <row r="4" spans="1:7" x14ac:dyDescent="0.25">
      <c r="A4" s="20"/>
    </row>
    <row r="5" spans="1:7" ht="49.5" customHeight="1" x14ac:dyDescent="0.25">
      <c r="A5" s="20"/>
      <c r="B5" s="47" t="s">
        <v>30</v>
      </c>
      <c r="C5" s="48"/>
      <c r="D5" s="48"/>
      <c r="E5" s="48"/>
      <c r="F5" s="48"/>
    </row>
    <row r="6" spans="1:7" ht="15.75" thickBot="1" x14ac:dyDescent="0.3">
      <c r="A6" s="20"/>
    </row>
    <row r="7" spans="1:7" ht="15.75" thickBot="1" x14ac:dyDescent="0.3">
      <c r="B7" s="46" t="s">
        <v>27</v>
      </c>
      <c r="C7" s="46" t="s">
        <v>1</v>
      </c>
      <c r="D7" s="46" t="s">
        <v>2</v>
      </c>
      <c r="E7" s="46" t="s">
        <v>28</v>
      </c>
      <c r="F7" s="46" t="s">
        <v>29</v>
      </c>
    </row>
    <row r="8" spans="1:7" ht="15.75" thickBot="1" x14ac:dyDescent="0.3">
      <c r="B8" s="44">
        <v>1</v>
      </c>
      <c r="C8" s="45" t="s">
        <v>41</v>
      </c>
      <c r="D8" s="45">
        <v>1</v>
      </c>
      <c r="E8" s="45"/>
      <c r="F8" s="45"/>
    </row>
    <row r="9" spans="1:7" ht="15.75" thickBot="1" x14ac:dyDescent="0.3">
      <c r="B9" s="44">
        <v>2</v>
      </c>
      <c r="C9" s="45" t="s">
        <v>31</v>
      </c>
      <c r="D9" s="45">
        <v>1</v>
      </c>
      <c r="E9" s="45"/>
      <c r="F9" s="45"/>
    </row>
    <row r="10" spans="1:7" ht="15.75" thickBot="1" x14ac:dyDescent="0.3">
      <c r="B10" s="44">
        <v>3</v>
      </c>
      <c r="C10" s="45" t="s">
        <v>32</v>
      </c>
      <c r="D10" s="45">
        <v>7</v>
      </c>
      <c r="E10" s="45"/>
      <c r="F10" s="45"/>
    </row>
    <row r="11" spans="1:7" ht="15.75" thickBot="1" x14ac:dyDescent="0.3">
      <c r="B11" s="44">
        <v>4</v>
      </c>
      <c r="C11" s="45" t="s">
        <v>33</v>
      </c>
      <c r="D11" s="45">
        <v>3</v>
      </c>
      <c r="E11" s="45"/>
      <c r="F11" s="45"/>
    </row>
    <row r="12" spans="1:7" ht="15.75" thickBot="1" x14ac:dyDescent="0.3">
      <c r="B12" s="44">
        <v>5</v>
      </c>
      <c r="C12" s="45" t="s">
        <v>34</v>
      </c>
      <c r="D12" s="45">
        <v>2</v>
      </c>
      <c r="E12" s="45"/>
      <c r="F12" s="45"/>
    </row>
    <row r="13" spans="1:7" ht="15.75" thickBot="1" x14ac:dyDescent="0.3">
      <c r="B13" s="44">
        <v>6</v>
      </c>
      <c r="C13" s="45" t="s">
        <v>35</v>
      </c>
      <c r="D13" s="45">
        <v>6</v>
      </c>
      <c r="E13" s="45"/>
      <c r="F13" s="45"/>
    </row>
    <row r="14" spans="1:7" ht="15.75" thickBot="1" x14ac:dyDescent="0.3">
      <c r="B14" s="44">
        <v>7</v>
      </c>
      <c r="C14" s="45" t="s">
        <v>36</v>
      </c>
      <c r="D14" s="45">
        <v>3</v>
      </c>
      <c r="E14" s="45"/>
      <c r="F14" s="45"/>
    </row>
    <row r="15" spans="1:7" ht="15.75" thickBot="1" x14ac:dyDescent="0.3">
      <c r="B15" s="44">
        <v>8</v>
      </c>
      <c r="C15" s="45" t="s">
        <v>37</v>
      </c>
      <c r="D15" s="45">
        <v>5</v>
      </c>
      <c r="E15" s="45"/>
      <c r="F15" s="45"/>
    </row>
    <row r="16" spans="1:7" ht="15.75" thickBot="1" x14ac:dyDescent="0.3">
      <c r="B16" s="44">
        <v>9</v>
      </c>
      <c r="C16" s="45" t="s">
        <v>38</v>
      </c>
      <c r="D16" s="45">
        <v>5</v>
      </c>
      <c r="E16" s="45"/>
      <c r="F16" s="45"/>
    </row>
    <row r="17" spans="2:6" ht="15.75" thickBot="1" x14ac:dyDescent="0.3">
      <c r="B17" s="44">
        <v>10</v>
      </c>
      <c r="C17" s="45" t="s">
        <v>40</v>
      </c>
      <c r="D17" s="45">
        <v>1</v>
      </c>
      <c r="E17" s="45"/>
      <c r="F17" s="45"/>
    </row>
    <row r="18" spans="2:6" ht="15.75" thickBot="1" x14ac:dyDescent="0.3">
      <c r="B18" s="44">
        <v>11</v>
      </c>
      <c r="C18" s="45" t="s">
        <v>39</v>
      </c>
      <c r="D18" s="45">
        <v>2</v>
      </c>
      <c r="E18" s="45"/>
      <c r="F18" s="45"/>
    </row>
    <row r="19" spans="2:6" ht="15.75" thickBot="1" x14ac:dyDescent="0.3">
      <c r="B19" s="44">
        <v>12</v>
      </c>
      <c r="C19" s="45" t="s">
        <v>42</v>
      </c>
      <c r="D19" s="45">
        <v>1</v>
      </c>
      <c r="E19" s="45"/>
      <c r="F19" s="45"/>
    </row>
    <row r="20" spans="2:6" ht="15.75" thickBot="1" x14ac:dyDescent="0.3">
      <c r="B20" s="44">
        <v>13</v>
      </c>
      <c r="C20" s="45" t="s">
        <v>43</v>
      </c>
      <c r="D20" s="45">
        <v>1</v>
      </c>
      <c r="E20" s="45"/>
      <c r="F20" s="45"/>
    </row>
    <row r="21" spans="2:6" ht="15.75" thickBot="1" x14ac:dyDescent="0.3">
      <c r="B21" s="44">
        <v>14</v>
      </c>
      <c r="C21" s="45" t="s">
        <v>44</v>
      </c>
      <c r="D21" s="45">
        <v>6</v>
      </c>
      <c r="E21" s="45"/>
      <c r="F21" s="45"/>
    </row>
    <row r="22" spans="2:6" ht="15.75" thickBot="1" x14ac:dyDescent="0.3">
      <c r="B22" s="44">
        <v>15</v>
      </c>
      <c r="C22" s="45" t="s">
        <v>45</v>
      </c>
      <c r="D22" s="45">
        <v>1</v>
      </c>
      <c r="E22" s="45"/>
      <c r="F22" s="45"/>
    </row>
  </sheetData>
  <mergeCells count="5">
    <mergeCell ref="B5:F5"/>
    <mergeCell ref="A1:A3"/>
    <mergeCell ref="G1:G3"/>
    <mergeCell ref="B2:F2"/>
    <mergeCell ref="B3:F3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Achat Kampala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Mupenda</cp:lastModifiedBy>
  <cp:lastPrinted>2025-11-17T09:39:54Z</cp:lastPrinted>
  <dcterms:created xsi:type="dcterms:W3CDTF">2025-11-14T14:14:34Z</dcterms:created>
  <dcterms:modified xsi:type="dcterms:W3CDTF">2025-11-17T09:43:54Z</dcterms:modified>
</cp:coreProperties>
</file>